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njini Jyothish\Personal\Class\"/>
    </mc:Choice>
  </mc:AlternateContent>
  <xr:revisionPtr revIDLastSave="0" documentId="13_ncr:1_{F98D134C-D239-4661-A3F4-C98B5F2437F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Answers" sheetId="3" r:id="rId3"/>
    <sheet name="Answer for 3rd Question" sheetId="4" r:id="rId4"/>
  </sheets>
  <definedNames>
    <definedName name="_xlnm._FilterDatabase" localSheetId="2" hidden="1">Answers!$A$2:$K$36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P4" i="3" l="1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" i="3"/>
  <c r="I20" i="3"/>
  <c r="I11" i="3"/>
  <c r="I12" i="3"/>
  <c r="I33" i="3"/>
  <c r="I6" i="3"/>
  <c r="I21" i="3"/>
  <c r="I27" i="3"/>
  <c r="I13" i="3"/>
  <c r="I31" i="3"/>
  <c r="I14" i="3"/>
  <c r="I34" i="3"/>
  <c r="I35" i="3"/>
  <c r="I7" i="3"/>
  <c r="I8" i="3"/>
  <c r="I3" i="3"/>
  <c r="I9" i="3"/>
  <c r="I15" i="3"/>
  <c r="I22" i="3"/>
  <c r="I32" i="3"/>
  <c r="I16" i="3"/>
  <c r="I28" i="3"/>
  <c r="I36" i="3"/>
  <c r="I4" i="3"/>
  <c r="I17" i="3"/>
  <c r="I23" i="3"/>
  <c r="I29" i="3"/>
  <c r="I10" i="3"/>
  <c r="I24" i="3"/>
  <c r="I30" i="3"/>
  <c r="I18" i="3"/>
  <c r="I25" i="3"/>
  <c r="I19" i="3"/>
  <c r="I5" i="3"/>
  <c r="I26" i="3"/>
  <c r="G20" i="3"/>
  <c r="G26" i="3"/>
  <c r="G12" i="3"/>
  <c r="G33" i="3"/>
  <c r="G6" i="3"/>
  <c r="G21" i="3"/>
  <c r="G27" i="3"/>
  <c r="G13" i="3"/>
  <c r="G31" i="3"/>
  <c r="G14" i="3"/>
  <c r="G34" i="3"/>
  <c r="G35" i="3"/>
  <c r="G7" i="3"/>
  <c r="G8" i="3"/>
  <c r="G3" i="3"/>
  <c r="G9" i="3"/>
  <c r="G15" i="3"/>
  <c r="G22" i="3"/>
  <c r="G32" i="3"/>
  <c r="G16" i="3"/>
  <c r="G28" i="3"/>
  <c r="G36" i="3"/>
  <c r="G4" i="3"/>
  <c r="G17" i="3"/>
  <c r="G23" i="3"/>
  <c r="G29" i="3"/>
  <c r="G10" i="3"/>
  <c r="G24" i="3"/>
  <c r="G30" i="3"/>
  <c r="G18" i="3"/>
  <c r="G25" i="3"/>
  <c r="G19" i="3"/>
  <c r="G5" i="3"/>
  <c r="G11" i="3"/>
  <c r="H6" i="3"/>
  <c r="H21" i="3"/>
  <c r="H27" i="3"/>
  <c r="H13" i="3"/>
  <c r="H31" i="3"/>
  <c r="H14" i="3"/>
  <c r="H34" i="3"/>
  <c r="H35" i="3"/>
  <c r="H7" i="3"/>
  <c r="H8" i="3"/>
  <c r="H3" i="3"/>
  <c r="H9" i="3"/>
  <c r="H15" i="3"/>
  <c r="H22" i="3"/>
  <c r="H32" i="3"/>
  <c r="H16" i="3"/>
  <c r="H28" i="3"/>
  <c r="H36" i="3"/>
  <c r="H4" i="3"/>
  <c r="H17" i="3"/>
  <c r="H23" i="3"/>
  <c r="H29" i="3"/>
  <c r="H10" i="3"/>
  <c r="H24" i="3"/>
  <c r="H30" i="3"/>
  <c r="H18" i="3"/>
  <c r="H25" i="3"/>
  <c r="H19" i="3"/>
  <c r="H5" i="3"/>
  <c r="H20" i="3"/>
  <c r="H26" i="3"/>
  <c r="H12" i="3"/>
  <c r="H33" i="3"/>
  <c r="H11" i="3"/>
  <c r="Y5" i="3"/>
</calcChain>
</file>

<file path=xl/sharedStrings.xml><?xml version="1.0" encoding="utf-8"?>
<sst xmlns="http://schemas.openxmlformats.org/spreadsheetml/2006/main" count="659" uniqueCount="157">
  <si>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</si>
  <si>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</si>
  <si>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</si>
  <si>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</si>
  <si>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</si>
  <si>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</si>
  <si>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</si>
  <si>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</si>
  <si>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</si>
  <si>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</si>
  <si>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</si>
  <si>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</si>
  <si>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</si>
  <si>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</si>
  <si>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</si>
  <si>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</si>
  <si>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</si>
  <si>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</si>
  <si>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</si>
  <si>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</si>
  <si>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</si>
  <si>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</si>
  <si>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</si>
  <si>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</si>
  <si>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</si>
  <si>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</si>
  <si>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</si>
  <si>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</si>
  <si>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</si>
  <si>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</si>
  <si>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</si>
  <si>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</si>
  <si>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</si>
  <si>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</si>
  <si>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</si>
  <si>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</si>
  <si>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</si>
  <si>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</si>
  <si>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</si>
  <si>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</si>
  <si>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</si>
  <si>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</si>
  <si>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</si>
  <si>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</si>
  <si>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</si>
  <si>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</si>
  <si>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</si>
  <si>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</si>
  <si>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</si>
  <si>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</si>
  <si>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</si>
  <si>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</si>
  <si>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</si>
  <si>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</si>
  <si>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</si>
  <si>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</si>
  <si>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</si>
  <si>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</si>
  <si>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</si>
  <si>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</si>
  <si>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</si>
  <si>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</si>
  <si>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</si>
  <si>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</si>
  <si>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</si>
  <si>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</si>
  <si>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</si>
  <si>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</si>
  <si>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</si>
  <si>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</si>
  <si>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</si>
  <si>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</si>
  <si>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</si>
  <si>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</si>
  <si>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</si>
  <si>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</si>
  <si>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</si>
  <si>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</si>
  <si>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</si>
  <si>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</si>
  <si>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</si>
  <si>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</si>
  <si>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</si>
  <si>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</si>
  <si>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</si>
  <si>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</si>
  <si>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</si>
  <si>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</si>
  <si>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</si>
  <si>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</si>
  <si>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</si>
  <si>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</si>
  <si>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</si>
  <si>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</si>
  <si>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</si>
  <si>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</si>
  <si>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</si>
  <si>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</si>
  <si>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</si>
  <si>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</si>
  <si>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</si>
  <si>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</si>
  <si>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</si>
  <si>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</si>
  <si>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</si>
  <si>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</si>
  <si>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</si>
  <si>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</si>
  <si>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</si>
  <si>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</si>
  <si>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</si>
  <si>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</si>
  <si>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</si>
  <si>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</si>
  <si>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</si>
  <si>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</si>
  <si>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categories</t>
  </si>
  <si>
    <t>missing price information</t>
  </si>
  <si>
    <t>Answers for 1st Question</t>
  </si>
  <si>
    <t xml:space="preserve"> inconsistent text formats</t>
  </si>
  <si>
    <t xml:space="preserve"> text formats in the  Product Name using find &amp; Replace</t>
  </si>
  <si>
    <t>Head Phones</t>
  </si>
  <si>
    <t>Smart Watch</t>
  </si>
  <si>
    <t>Using sort function we can identify the TYPO in "Category"</t>
  </si>
  <si>
    <t>Answers for 2nd Question</t>
  </si>
  <si>
    <t>Deuplication renoved using the remove duplicate from the data tab</t>
  </si>
  <si>
    <t>Manufacturing Date</t>
  </si>
  <si>
    <t>Country Code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</si>
  <si>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</si>
  <si>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</si>
  <si>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</si>
  <si>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</si>
  <si>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</si>
  <si>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</si>
  <si>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</si>
  <si>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</si>
  <si>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</si>
  <si>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</si>
  <si>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</si>
  <si>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</si>
  <si>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</si>
  <si>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</si>
  <si>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</si>
  <si>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</si>
  <si>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</si>
  <si>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</si>
  <si>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</si>
  <si>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</si>
  <si>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</si>
  <si>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</si>
  <si>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</si>
  <si>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</si>
  <si>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Answer for 4 A -• Split the "Product ID" column into two separate columns for " Manufacturing Date" and "Country Code". Remove unnecessary characters, if any.</t>
  </si>
  <si>
    <t>Product Brand</t>
  </si>
  <si>
    <t>Manufacturing Month</t>
  </si>
  <si>
    <t>Answer for 4 b -Merge the "Brand Name" and "Product Name" columns into one column named "Product Brand".</t>
  </si>
  <si>
    <t xml:space="preserve">Format the data type of the "Price" column to currency format.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</si>
</sst>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₹&quot;\ #,##0.00"/>
    <numFmt numFmtId="171" formatCode="[$-14009]dd\-mm\-yyyy;@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2" fontId="0" fillId="0" borderId="0" xfId="0" applyNumberFormat="1"/>
    <xf numFmtId="0" fontId="9" fillId="0" borderId="0" xfId="0" applyFont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2" fontId="5" fillId="0" borderId="3" xfId="0" applyNumberFormat="1" applyFont="1" applyBorder="1"/>
    <xf numFmtId="0" fontId="5" fillId="0" borderId="5" xfId="0" applyFont="1" applyBorder="1"/>
    <xf numFmtId="0" fontId="5" fillId="0" borderId="6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8" xfId="0" applyBorder="1"/>
    <xf numFmtId="0" fontId="0" fillId="0" borderId="6" xfId="0" applyBorder="1"/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169" fontId="0" fillId="0" borderId="0" xfId="0" applyNumberFormat="1" applyBorder="1" applyAlignment="1">
      <alignment horizontal="center" wrapText="1"/>
    </xf>
    <xf numFmtId="169" fontId="7" fillId="2" borderId="0" xfId="0" applyNumberFormat="1" applyFont="1" applyFill="1" applyAlignment="1">
      <alignment horizontal="center" vertical="center" wrapText="1"/>
    </xf>
    <xf numFmtId="169" fontId="5" fillId="3" borderId="0" xfId="0" applyNumberFormat="1" applyFont="1" applyFill="1"/>
    <xf numFmtId="169" fontId="5" fillId="0" borderId="0" xfId="0" applyNumberFormat="1" applyFont="1"/>
    <xf numFmtId="169" fontId="0" fillId="0" borderId="0" xfId="0" applyNumberFormat="1"/>
    <xf numFmtId="171" fontId="0" fillId="0" borderId="0" xfId="0" applyNumberFormat="1"/>
    <xf numFmtId="171" fontId="0" fillId="0" borderId="0" xfId="0" applyNumberFormat="1" applyBorder="1" applyAlignment="1">
      <alignment horizontal="center" vertical="center" wrapText="1"/>
    </xf>
    <xf numFmtId="171" fontId="5" fillId="3" borderId="0" xfId="0" applyNumberFormat="1" applyFont="1" applyFill="1"/>
    <xf numFmtId="171" fontId="5" fillId="0" borderId="0" xfId="0" applyNumberFormat="1" applyFont="1"/>
    <xf numFmtId="169" fontId="11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16" sqref="C16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20" workbookViewId="0">
      <selection activeCell="B1" sqref="B1:C35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495C-AD45-44B1-808B-C41152121634}">
  <dimension ref="A1:AF1001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2" sqref="A2"/>
    </sheetView>
  </sheetViews>
  <sheetFormatPr defaultColWidth="12.6328125" defaultRowHeight="12.5" x14ac:dyDescent="0.25"/>
  <cols>
    <col min="8" max="9" width="14.26953125" customWidth="1"/>
    <col min="10" max="10" width="16.81640625" customWidth="1"/>
    <col min="11" max="11" width="20.1796875" customWidth="1"/>
    <col min="12" max="12" width="22.1796875" customWidth="1"/>
    <col min="13" max="13" width="11.7265625" customWidth="1"/>
    <col min="14" max="14" width="13.26953125" customWidth="1"/>
    <col min="15" max="15" width="11.81640625" bestFit="1" customWidth="1"/>
    <col min="16" max="16" width="18.6328125" customWidth="1"/>
    <col min="17" max="17" width="17.54296875" style="42" customWidth="1"/>
    <col min="18" max="18" width="13.54296875" style="43" customWidth="1"/>
    <col min="19" max="20" width="16.6328125" style="43" customWidth="1"/>
    <col min="21" max="21" width="18.6328125" customWidth="1"/>
    <col min="22" max="22" width="14" customWidth="1"/>
    <col min="23" max="23" width="7.453125" customWidth="1"/>
    <col min="24" max="24" width="98.54296875" customWidth="1"/>
  </cols>
  <sheetData>
    <row r="1" spans="1:32" ht="50.5" customHeight="1" x14ac:dyDescent="0.3">
      <c r="G1" s="12" t="s">
        <v>118</v>
      </c>
      <c r="H1" s="13"/>
      <c r="I1" s="25" t="s">
        <v>124</v>
      </c>
      <c r="J1" s="24"/>
      <c r="K1" s="24"/>
      <c r="L1" s="35" t="s">
        <v>152</v>
      </c>
      <c r="M1" s="36"/>
      <c r="N1" s="36"/>
      <c r="O1" s="37"/>
      <c r="P1" s="34" t="s">
        <v>155</v>
      </c>
      <c r="Q1" s="38" t="s">
        <v>156</v>
      </c>
      <c r="R1" s="38" t="s">
        <v>15</v>
      </c>
      <c r="S1" s="47" t="s">
        <v>17</v>
      </c>
      <c r="T1" s="47" t="s">
        <v>18</v>
      </c>
      <c r="U1" s="38"/>
    </row>
    <row r="2" spans="1:32" s="33" customFormat="1" ht="52" x14ac:dyDescent="0.25">
      <c r="A2" s="21" t="s">
        <v>19</v>
      </c>
      <c r="B2" s="21" t="s">
        <v>20</v>
      </c>
      <c r="C2" s="21" t="s">
        <v>21</v>
      </c>
      <c r="D2" s="21" t="s">
        <v>22</v>
      </c>
      <c r="E2" s="21" t="s">
        <v>23</v>
      </c>
      <c r="F2" s="21" t="s">
        <v>24</v>
      </c>
      <c r="G2" s="19" t="s">
        <v>117</v>
      </c>
      <c r="H2" s="20" t="s">
        <v>116</v>
      </c>
      <c r="I2" s="22" t="s">
        <v>119</v>
      </c>
      <c r="J2" s="21" t="s">
        <v>123</v>
      </c>
      <c r="K2" s="22" t="s">
        <v>120</v>
      </c>
      <c r="L2" s="19" t="s">
        <v>19</v>
      </c>
      <c r="M2" s="31" t="s">
        <v>126</v>
      </c>
      <c r="N2" s="31" t="s">
        <v>154</v>
      </c>
      <c r="O2" s="32" t="s">
        <v>127</v>
      </c>
      <c r="P2" s="32" t="s">
        <v>153</v>
      </c>
      <c r="Q2" s="39" t="s">
        <v>22</v>
      </c>
      <c r="R2" s="44" t="s">
        <v>126</v>
      </c>
      <c r="S2" s="39" t="s">
        <v>22</v>
      </c>
      <c r="T2" s="21" t="s">
        <v>24</v>
      </c>
      <c r="U2" s="31"/>
      <c r="V2" s="30" t="s">
        <v>0</v>
      </c>
    </row>
    <row r="3" spans="1:32" ht="15.75" customHeight="1" x14ac:dyDescent="0.25">
      <c r="A3" s="8" t="s">
        <v>72</v>
      </c>
      <c r="B3" s="8" t="s">
        <v>73</v>
      </c>
      <c r="C3" s="8" t="s">
        <v>74</v>
      </c>
      <c r="D3" s="8">
        <v>50</v>
      </c>
      <c r="E3" s="8">
        <v>35</v>
      </c>
      <c r="F3" s="8" t="s">
        <v>75</v>
      </c>
      <c r="G3" s="14">
        <f>IF(ISBLANK(D3),AVERAGE(D3:D36),D3)</f>
        <v>50</v>
      </c>
      <c r="H3" s="15" t="str">
        <f>IF(ISBLANK(F3),"Unknown",F3)</f>
        <v>Accessories</v>
      </c>
      <c r="I3" s="23" t="str">
        <f>PROPER(B3)</f>
        <v>Laptop Bag</v>
      </c>
      <c r="J3" s="8" t="s">
        <v>75</v>
      </c>
      <c r="K3" s="8" t="s">
        <v>73</v>
      </c>
      <c r="L3" s="8" t="s">
        <v>72</v>
      </c>
      <c r="M3" s="26">
        <v>21</v>
      </c>
      <c r="N3" s="26" t="s">
        <v>137</v>
      </c>
      <c r="O3" s="27" t="s">
        <v>145</v>
      </c>
      <c r="P3" s="27" t="str">
        <f>C3&amp;" "&amp;B3</f>
        <v>Samsonite Laptop Bag</v>
      </c>
      <c r="Q3" s="40">
        <v>50</v>
      </c>
      <c r="R3" s="45">
        <v>21</v>
      </c>
      <c r="S3" s="40">
        <v>50</v>
      </c>
      <c r="T3" s="8" t="s">
        <v>75</v>
      </c>
      <c r="U3" s="26"/>
    </row>
    <row r="4" spans="1:32" ht="15.75" customHeight="1" x14ac:dyDescent="0.3">
      <c r="A4" s="8" t="s">
        <v>72</v>
      </c>
      <c r="B4" s="8" t="s">
        <v>73</v>
      </c>
      <c r="C4" s="8" t="s">
        <v>74</v>
      </c>
      <c r="D4" s="8">
        <v>50</v>
      </c>
      <c r="E4" s="8">
        <v>35</v>
      </c>
      <c r="F4" s="8" t="s">
        <v>75</v>
      </c>
      <c r="G4" s="14">
        <f>IF(ISBLANK(D4),AVERAGE(D4:D37),D4)</f>
        <v>50</v>
      </c>
      <c r="H4" s="15" t="str">
        <f>IF(ISBLANK(F4),"Unknown",F4)</f>
        <v>Accessories</v>
      </c>
      <c r="I4" s="23" t="str">
        <f>PROPER(B4)</f>
        <v>Laptop Bag</v>
      </c>
      <c r="J4" s="8" t="s">
        <v>75</v>
      </c>
      <c r="K4" s="8" t="s">
        <v>73</v>
      </c>
      <c r="L4" s="8" t="s">
        <v>72</v>
      </c>
      <c r="M4" s="26">
        <v>21</v>
      </c>
      <c r="N4" s="26" t="s">
        <v>137</v>
      </c>
      <c r="O4" s="27" t="s">
        <v>145</v>
      </c>
      <c r="P4" s="27" t="str">
        <f t="shared" ref="P4:P36" si="0">C4&amp;" "&amp;B4</f>
        <v>Samsonite Laptop Bag</v>
      </c>
      <c r="Q4" s="40">
        <v>50</v>
      </c>
      <c r="R4" s="45">
        <v>21</v>
      </c>
      <c r="S4" s="40">
        <v>50</v>
      </c>
      <c r="T4" s="8" t="s">
        <v>75</v>
      </c>
      <c r="U4" s="26"/>
      <c r="W4" s="2" t="s">
        <v>1</v>
      </c>
    </row>
    <row r="5" spans="1:32" ht="15.75" customHeight="1" x14ac:dyDescent="0.35">
      <c r="A5" s="8" t="s">
        <v>113</v>
      </c>
      <c r="B5" s="8" t="s">
        <v>114</v>
      </c>
      <c r="C5" s="8" t="s">
        <v>115</v>
      </c>
      <c r="D5" s="8">
        <v>100</v>
      </c>
      <c r="E5" s="8">
        <v>20</v>
      </c>
      <c r="F5" s="8" t="s">
        <v>75</v>
      </c>
      <c r="G5" s="14">
        <f>IF(ISBLANK(D5),AVERAGE(D5:D38),D5)</f>
        <v>100</v>
      </c>
      <c r="H5" s="15" t="str">
        <f>IF(ISBLANK(F5),"Unknown",F5)</f>
        <v>Accessories</v>
      </c>
      <c r="I5" s="23" t="str">
        <f>PROPER(B5)</f>
        <v>Watch</v>
      </c>
      <c r="J5" s="8" t="s">
        <v>75</v>
      </c>
      <c r="K5" s="8" t="s">
        <v>114</v>
      </c>
      <c r="L5" s="8" t="s">
        <v>113</v>
      </c>
      <c r="M5" s="26">
        <v>9</v>
      </c>
      <c r="N5" s="26" t="s">
        <v>136</v>
      </c>
      <c r="O5" s="27" t="s">
        <v>151</v>
      </c>
      <c r="P5" s="27" t="str">
        <f t="shared" si="0"/>
        <v>Casio Watch</v>
      </c>
      <c r="Q5" s="40">
        <v>100</v>
      </c>
      <c r="R5" s="45">
        <v>9</v>
      </c>
      <c r="S5" s="40">
        <v>100</v>
      </c>
      <c r="T5" s="8" t="s">
        <v>75</v>
      </c>
      <c r="U5" s="26"/>
      <c r="X5" s="11" t="s">
        <v>2</v>
      </c>
      <c r="Y5" s="9">
        <f>COUNTBLANK(D3:D36)</f>
        <v>3</v>
      </c>
      <c r="Z5" s="10"/>
    </row>
    <row r="6" spans="1:32" ht="15.75" customHeight="1" x14ac:dyDescent="0.35">
      <c r="A6" s="8" t="s">
        <v>43</v>
      </c>
      <c r="B6" s="8" t="s">
        <v>44</v>
      </c>
      <c r="C6" s="8" t="s">
        <v>45</v>
      </c>
      <c r="D6" s="8"/>
      <c r="E6" s="8">
        <v>45</v>
      </c>
      <c r="F6" s="8" t="s">
        <v>46</v>
      </c>
      <c r="G6" s="16">
        <f>IF(ISBLANK(D6),AVERAGE(D6:D39),D6)</f>
        <v>335.35714285714283</v>
      </c>
      <c r="H6" s="15" t="str">
        <f>IF(ISBLANK(F6),"Unknown",F6)</f>
        <v>Electroni</v>
      </c>
      <c r="I6" s="23" t="str">
        <f>PROPER(B6)</f>
        <v>Headphones</v>
      </c>
      <c r="J6" s="8" t="s">
        <v>46</v>
      </c>
      <c r="K6" s="8" t="s">
        <v>121</v>
      </c>
      <c r="L6" s="8" t="s">
        <v>43</v>
      </c>
      <c r="M6" s="26">
        <v>7</v>
      </c>
      <c r="N6" s="26" t="s">
        <v>134</v>
      </c>
      <c r="O6" s="27" t="s">
        <v>135</v>
      </c>
      <c r="P6" s="27" t="str">
        <f t="shared" si="0"/>
        <v>Sony Headphones</v>
      </c>
      <c r="Q6" s="40"/>
      <c r="R6" s="45">
        <v>7</v>
      </c>
      <c r="S6" s="40"/>
      <c r="T6" s="8" t="s">
        <v>46</v>
      </c>
      <c r="U6" s="26"/>
      <c r="W6" s="4"/>
      <c r="X6" s="11" t="s">
        <v>3</v>
      </c>
    </row>
    <row r="7" spans="1:32" ht="15.75" customHeight="1" x14ac:dyDescent="0.35">
      <c r="A7" s="8" t="s">
        <v>66</v>
      </c>
      <c r="B7" s="8" t="s">
        <v>67</v>
      </c>
      <c r="C7" s="8" t="s">
        <v>68</v>
      </c>
      <c r="D7" s="8">
        <v>150</v>
      </c>
      <c r="E7" s="8">
        <v>15</v>
      </c>
      <c r="F7" s="8" t="s">
        <v>46</v>
      </c>
      <c r="G7" s="14">
        <f>IF(ISBLANK(D7),AVERAGE(D7:D40),D7)</f>
        <v>150</v>
      </c>
      <c r="H7" s="15" t="str">
        <f>IF(ISBLANK(F7),"Unknown",F7)</f>
        <v>Electroni</v>
      </c>
      <c r="I7" s="23" t="str">
        <f>PROPER(B7)</f>
        <v>Smartwatch</v>
      </c>
      <c r="J7" s="8" t="s">
        <v>46</v>
      </c>
      <c r="K7" s="8" t="s">
        <v>122</v>
      </c>
      <c r="L7" s="8" t="s">
        <v>66</v>
      </c>
      <c r="M7" s="26">
        <v>18</v>
      </c>
      <c r="N7" s="26" t="s">
        <v>130</v>
      </c>
      <c r="O7" s="27" t="s">
        <v>145</v>
      </c>
      <c r="P7" s="27" t="str">
        <f t="shared" si="0"/>
        <v>Fitbit Smartwatch</v>
      </c>
      <c r="Q7" s="40">
        <v>150</v>
      </c>
      <c r="R7" s="45">
        <v>18</v>
      </c>
      <c r="S7" s="40">
        <v>150</v>
      </c>
      <c r="T7" s="8" t="s">
        <v>46</v>
      </c>
      <c r="U7" s="26"/>
      <c r="W7" s="4"/>
    </row>
    <row r="8" spans="1:32" ht="15.75" customHeight="1" x14ac:dyDescent="0.3">
      <c r="A8" s="5" t="s">
        <v>69</v>
      </c>
      <c r="B8" s="5" t="s">
        <v>70</v>
      </c>
      <c r="C8" s="5" t="s">
        <v>71</v>
      </c>
      <c r="D8" s="5">
        <v>250</v>
      </c>
      <c r="E8" s="5">
        <v>20</v>
      </c>
      <c r="F8" s="5" t="s">
        <v>46</v>
      </c>
      <c r="G8" s="14">
        <f>IF(ISBLANK(D8),AVERAGE(D8:D41),D8)</f>
        <v>250</v>
      </c>
      <c r="H8" s="15" t="str">
        <f>IF(ISBLANK(F8),"Unknown",F8)</f>
        <v>Electroni</v>
      </c>
      <c r="I8" s="23" t="str">
        <f>PROPER(B8)</f>
        <v>Headphones</v>
      </c>
      <c r="J8" s="5" t="s">
        <v>46</v>
      </c>
      <c r="K8" s="5" t="s">
        <v>121</v>
      </c>
      <c r="L8" s="5" t="s">
        <v>69</v>
      </c>
      <c r="M8" s="26">
        <v>16</v>
      </c>
      <c r="N8" s="26" t="s">
        <v>132</v>
      </c>
      <c r="O8" s="27" t="s">
        <v>146</v>
      </c>
      <c r="P8" s="27" t="str">
        <f t="shared" si="0"/>
        <v>Bose headphones</v>
      </c>
      <c r="Q8" s="41">
        <v>250</v>
      </c>
      <c r="R8" s="46">
        <v>16</v>
      </c>
      <c r="S8" s="41">
        <v>250</v>
      </c>
      <c r="T8" s="5" t="s">
        <v>46</v>
      </c>
      <c r="U8" s="26"/>
      <c r="W8" s="2" t="s">
        <v>4</v>
      </c>
    </row>
    <row r="9" spans="1:32" ht="15.75" customHeight="1" x14ac:dyDescent="0.35">
      <c r="A9" s="5" t="s">
        <v>76</v>
      </c>
      <c r="B9" s="5" t="s">
        <v>67</v>
      </c>
      <c r="C9" s="5" t="s">
        <v>77</v>
      </c>
      <c r="D9" s="5">
        <v>160</v>
      </c>
      <c r="E9" s="5">
        <v>15</v>
      </c>
      <c r="F9" s="5" t="s">
        <v>46</v>
      </c>
      <c r="G9" s="14">
        <f>IF(ISBLANK(D9),AVERAGE(D9:D42),D9)</f>
        <v>160</v>
      </c>
      <c r="H9" s="15" t="str">
        <f>IF(ISBLANK(F9),"Unknown",F9)</f>
        <v>Electroni</v>
      </c>
      <c r="I9" s="23" t="str">
        <f>PROPER(B9)</f>
        <v>Smartwatch</v>
      </c>
      <c r="J9" s="5" t="s">
        <v>46</v>
      </c>
      <c r="K9" s="5" t="s">
        <v>122</v>
      </c>
      <c r="L9" s="5" t="s">
        <v>76</v>
      </c>
      <c r="M9" s="26">
        <v>20</v>
      </c>
      <c r="N9" s="26" t="s">
        <v>137</v>
      </c>
      <c r="O9" s="27" t="s">
        <v>147</v>
      </c>
      <c r="P9" s="27" t="str">
        <f t="shared" si="0"/>
        <v>Huawei Smartwatch</v>
      </c>
      <c r="Q9" s="41">
        <v>160</v>
      </c>
      <c r="R9" s="46">
        <v>20</v>
      </c>
      <c r="S9" s="41">
        <v>160</v>
      </c>
      <c r="T9" s="5" t="s">
        <v>46</v>
      </c>
      <c r="U9" s="26"/>
      <c r="X9" s="11" t="s">
        <v>5</v>
      </c>
    </row>
    <row r="10" spans="1:32" ht="15.75" customHeight="1" x14ac:dyDescent="0.35">
      <c r="A10" s="8" t="s">
        <v>69</v>
      </c>
      <c r="B10" s="8" t="s">
        <v>70</v>
      </c>
      <c r="C10" s="8" t="s">
        <v>71</v>
      </c>
      <c r="D10" s="8">
        <v>250</v>
      </c>
      <c r="E10" s="8">
        <v>20</v>
      </c>
      <c r="F10" s="8" t="s">
        <v>46</v>
      </c>
      <c r="G10" s="14">
        <f>IF(ISBLANK(D10),AVERAGE(D10:D43),D10)</f>
        <v>250</v>
      </c>
      <c r="H10" s="15" t="str">
        <f>IF(ISBLANK(F10),"Unknown",F10)</f>
        <v>Electroni</v>
      </c>
      <c r="I10" s="23" t="str">
        <f>PROPER(B10)</f>
        <v>Headphones</v>
      </c>
      <c r="J10" s="8" t="s">
        <v>46</v>
      </c>
      <c r="K10" s="8" t="s">
        <v>121</v>
      </c>
      <c r="L10" s="8" t="s">
        <v>69</v>
      </c>
      <c r="M10" s="26">
        <v>16</v>
      </c>
      <c r="N10" s="26" t="s">
        <v>132</v>
      </c>
      <c r="O10" s="27" t="s">
        <v>146</v>
      </c>
      <c r="P10" s="27" t="str">
        <f t="shared" si="0"/>
        <v>Bose headphones</v>
      </c>
      <c r="Q10" s="40">
        <v>250</v>
      </c>
      <c r="R10" s="45">
        <v>16</v>
      </c>
      <c r="S10" s="40">
        <v>250</v>
      </c>
      <c r="T10" s="8" t="s">
        <v>46</v>
      </c>
      <c r="U10" s="26"/>
      <c r="X10" s="11" t="s">
        <v>6</v>
      </c>
    </row>
    <row r="11" spans="1:32" ht="15.75" customHeight="1" x14ac:dyDescent="0.35">
      <c r="A11" s="5" t="s">
        <v>25</v>
      </c>
      <c r="B11" s="5" t="s">
        <v>26</v>
      </c>
      <c r="C11" s="5" t="s">
        <v>27</v>
      </c>
      <c r="D11" s="5">
        <v>1000</v>
      </c>
      <c r="E11" s="5">
        <v>30</v>
      </c>
      <c r="F11" s="5" t="s">
        <v>28</v>
      </c>
      <c r="G11" s="14">
        <f>IF(ISBLANK(D11),AVERAGE(D11:D44),D11)</f>
        <v>1000</v>
      </c>
      <c r="H11" s="15" t="str">
        <f>IF(ISBLANK(F11),"Unknown",F11)</f>
        <v>Electronics</v>
      </c>
      <c r="I11" s="23" t="str">
        <f>PROPER(B11)</f>
        <v>Laptop</v>
      </c>
      <c r="J11" s="5" t="s">
        <v>28</v>
      </c>
      <c r="K11" s="5" t="s">
        <v>61</v>
      </c>
      <c r="L11" s="5" t="s">
        <v>25</v>
      </c>
      <c r="M11" s="26">
        <v>28</v>
      </c>
      <c r="N11" s="26" t="s">
        <v>128</v>
      </c>
      <c r="O11" s="27" t="s">
        <v>129</v>
      </c>
      <c r="P11" s="27" t="str">
        <f t="shared" si="0"/>
        <v>Dell laptop</v>
      </c>
      <c r="Q11" s="41">
        <v>1000</v>
      </c>
      <c r="R11" s="46">
        <v>28</v>
      </c>
      <c r="S11" s="41">
        <v>1000</v>
      </c>
      <c r="T11" s="5" t="s">
        <v>28</v>
      </c>
      <c r="U11" s="26"/>
      <c r="X11" s="3" t="s">
        <v>7</v>
      </c>
    </row>
    <row r="12" spans="1:32" ht="15.75" customHeight="1" x14ac:dyDescent="0.35">
      <c r="A12" s="8" t="s">
        <v>37</v>
      </c>
      <c r="B12" s="8" t="s">
        <v>96</v>
      </c>
      <c r="C12" s="8" t="s">
        <v>39</v>
      </c>
      <c r="D12" s="8">
        <v>900</v>
      </c>
      <c r="E12" s="8">
        <v>25</v>
      </c>
      <c r="F12" s="8" t="s">
        <v>28</v>
      </c>
      <c r="G12" s="14">
        <f>IF(ISBLANK(D12),AVERAGE(D12:D45),D12)</f>
        <v>900</v>
      </c>
      <c r="H12" s="15" t="str">
        <f>IF(ISBLANK(F12),"Unknown",F12)</f>
        <v>Electronics</v>
      </c>
      <c r="I12" s="23" t="str">
        <f>PROPER(B12)</f>
        <v>Smartphone</v>
      </c>
      <c r="J12" s="8" t="s">
        <v>28</v>
      </c>
      <c r="K12" s="8" t="s">
        <v>96</v>
      </c>
      <c r="L12" s="8" t="s">
        <v>37</v>
      </c>
      <c r="M12" s="26">
        <v>11</v>
      </c>
      <c r="N12" s="26" t="s">
        <v>132</v>
      </c>
      <c r="O12" s="27" t="s">
        <v>129</v>
      </c>
      <c r="P12" s="27" t="str">
        <f t="shared" si="0"/>
        <v>Samsung Smartphone</v>
      </c>
      <c r="Q12" s="40">
        <v>900</v>
      </c>
      <c r="R12" s="45">
        <v>11</v>
      </c>
      <c r="S12" s="40">
        <v>900</v>
      </c>
      <c r="T12" s="8" t="s">
        <v>28</v>
      </c>
      <c r="U12" s="26"/>
      <c r="W12" s="4"/>
    </row>
    <row r="13" spans="1:32" ht="15.75" customHeight="1" x14ac:dyDescent="0.3">
      <c r="A13" s="5" t="s">
        <v>53</v>
      </c>
      <c r="B13" s="5" t="s">
        <v>54</v>
      </c>
      <c r="C13" s="5" t="s">
        <v>55</v>
      </c>
      <c r="D13" s="5">
        <v>500</v>
      </c>
      <c r="E13" s="5">
        <v>50</v>
      </c>
      <c r="F13" s="5" t="s">
        <v>28</v>
      </c>
      <c r="G13" s="14">
        <f>IF(ISBLANK(D13),AVERAGE(D13:D46),D13)</f>
        <v>500</v>
      </c>
      <c r="H13" s="15" t="str">
        <f>IF(ISBLANK(F13),"Unknown",F13)</f>
        <v>Electronics</v>
      </c>
      <c r="I13" s="23" t="str">
        <f>PROPER(B13)</f>
        <v>Tablet</v>
      </c>
      <c r="J13" s="5" t="s">
        <v>28</v>
      </c>
      <c r="K13" s="5" t="s">
        <v>54</v>
      </c>
      <c r="L13" s="5" t="s">
        <v>53</v>
      </c>
      <c r="M13" s="26">
        <v>5</v>
      </c>
      <c r="N13" s="26" t="s">
        <v>138</v>
      </c>
      <c r="O13" s="27" t="s">
        <v>135</v>
      </c>
      <c r="P13" s="27" t="str">
        <f t="shared" si="0"/>
        <v>Apple Tablet</v>
      </c>
      <c r="Q13" s="41">
        <v>500</v>
      </c>
      <c r="R13" s="46">
        <v>5</v>
      </c>
      <c r="S13" s="41">
        <v>500</v>
      </c>
      <c r="T13" s="5" t="s">
        <v>28</v>
      </c>
      <c r="U13" s="26"/>
      <c r="W13" s="2" t="s">
        <v>8</v>
      </c>
    </row>
    <row r="14" spans="1:32" ht="15.75" customHeight="1" x14ac:dyDescent="0.35">
      <c r="A14" s="5" t="s">
        <v>60</v>
      </c>
      <c r="B14" s="5" t="s">
        <v>61</v>
      </c>
      <c r="C14" s="5" t="s">
        <v>62</v>
      </c>
      <c r="D14" s="5">
        <v>950</v>
      </c>
      <c r="E14" s="5">
        <v>25</v>
      </c>
      <c r="F14" s="5" t="s">
        <v>28</v>
      </c>
      <c r="G14" s="14">
        <f>IF(ISBLANK(D14),AVERAGE(D14:D47),D14)</f>
        <v>950</v>
      </c>
      <c r="H14" s="15" t="str">
        <f>IF(ISBLANK(F14),"Unknown",F14)</f>
        <v>Electronics</v>
      </c>
      <c r="I14" s="23" t="str">
        <f>PROPER(B14)</f>
        <v>Laptop</v>
      </c>
      <c r="J14" s="5" t="s">
        <v>28</v>
      </c>
      <c r="K14" s="5" t="s">
        <v>61</v>
      </c>
      <c r="L14" s="5" t="s">
        <v>60</v>
      </c>
      <c r="M14" s="26">
        <v>17</v>
      </c>
      <c r="N14" s="26" t="s">
        <v>134</v>
      </c>
      <c r="O14" s="27" t="s">
        <v>140</v>
      </c>
      <c r="P14" s="27" t="str">
        <f t="shared" si="0"/>
        <v>HP Laptop</v>
      </c>
      <c r="Q14" s="41">
        <v>950</v>
      </c>
      <c r="R14" s="46">
        <v>17</v>
      </c>
      <c r="S14" s="41">
        <v>950</v>
      </c>
      <c r="T14" s="5" t="s">
        <v>28</v>
      </c>
      <c r="U14" s="26"/>
      <c r="W14" s="2"/>
      <c r="X14" s="3" t="s">
        <v>9</v>
      </c>
    </row>
    <row r="15" spans="1:32" ht="15.75" customHeight="1" x14ac:dyDescent="0.25">
      <c r="A15" s="8" t="s">
        <v>78</v>
      </c>
      <c r="B15" s="8" t="s">
        <v>26</v>
      </c>
      <c r="C15" s="8" t="s">
        <v>79</v>
      </c>
      <c r="D15" s="8">
        <v>980</v>
      </c>
      <c r="E15" s="8">
        <v>10</v>
      </c>
      <c r="F15" s="8" t="s">
        <v>28</v>
      </c>
      <c r="G15" s="14">
        <f>IF(ISBLANK(D15),AVERAGE(D15:D48),D15)</f>
        <v>980</v>
      </c>
      <c r="H15" s="15" t="str">
        <f>IF(ISBLANK(F15),"Unknown",F15)</f>
        <v>Electronics</v>
      </c>
      <c r="I15" s="23" t="str">
        <f>PROPER(B15)</f>
        <v>Laptop</v>
      </c>
      <c r="J15" s="8" t="s">
        <v>28</v>
      </c>
      <c r="K15" s="8" t="s">
        <v>61</v>
      </c>
      <c r="L15" s="8" t="s">
        <v>78</v>
      </c>
      <c r="M15" s="26">
        <v>27</v>
      </c>
      <c r="N15" s="26" t="s">
        <v>128</v>
      </c>
      <c r="O15" s="27" t="s">
        <v>148</v>
      </c>
      <c r="P15" s="27" t="str">
        <f t="shared" si="0"/>
        <v>Asus laptop</v>
      </c>
      <c r="Q15" s="40">
        <v>980</v>
      </c>
      <c r="R15" s="45">
        <v>27</v>
      </c>
      <c r="S15" s="40">
        <v>980</v>
      </c>
      <c r="T15" s="8" t="s">
        <v>28</v>
      </c>
      <c r="U15" s="26"/>
    </row>
    <row r="16" spans="1:32" ht="15.75" customHeight="1" x14ac:dyDescent="0.3">
      <c r="A16" s="5" t="s">
        <v>86</v>
      </c>
      <c r="B16" s="5" t="s">
        <v>87</v>
      </c>
      <c r="C16" s="5" t="s">
        <v>88</v>
      </c>
      <c r="D16" s="5">
        <v>700</v>
      </c>
      <c r="E16" s="5">
        <v>50</v>
      </c>
      <c r="F16" s="5" t="s">
        <v>28</v>
      </c>
      <c r="G16" s="14">
        <f>IF(ISBLANK(D16),AVERAGE(D16:D49),D16)</f>
        <v>700</v>
      </c>
      <c r="H16" s="15" t="str">
        <f>IF(ISBLANK(F16),"Unknown",F16)</f>
        <v>Electronics</v>
      </c>
      <c r="I16" s="23" t="str">
        <f>PROPER(B16)</f>
        <v>Camera</v>
      </c>
      <c r="J16" s="5" t="s">
        <v>28</v>
      </c>
      <c r="K16" s="5" t="s">
        <v>87</v>
      </c>
      <c r="L16" s="5" t="s">
        <v>86</v>
      </c>
      <c r="M16" s="26">
        <v>14</v>
      </c>
      <c r="N16" s="26" t="s">
        <v>133</v>
      </c>
      <c r="O16" s="27" t="s">
        <v>149</v>
      </c>
      <c r="P16" s="27" t="str">
        <f t="shared" si="0"/>
        <v>Nikon Camera</v>
      </c>
      <c r="Q16" s="41">
        <v>700</v>
      </c>
      <c r="R16" s="46">
        <v>14</v>
      </c>
      <c r="S16" s="41">
        <v>700</v>
      </c>
      <c r="T16" s="5" t="s">
        <v>28</v>
      </c>
      <c r="U16" s="26"/>
      <c r="W16" s="2" t="s">
        <v>10</v>
      </c>
      <c r="X16" s="5"/>
      <c r="Y16" s="5"/>
      <c r="Z16" s="5"/>
      <c r="AA16" s="5"/>
      <c r="AB16" s="5"/>
      <c r="AC16" s="5"/>
      <c r="AD16" s="5"/>
      <c r="AE16" s="5"/>
      <c r="AF16" s="5"/>
    </row>
    <row r="17" spans="1:32" ht="15.75" customHeight="1" x14ac:dyDescent="0.35">
      <c r="A17" s="5" t="s">
        <v>95</v>
      </c>
      <c r="B17" s="5" t="s">
        <v>96</v>
      </c>
      <c r="C17" s="5" t="s">
        <v>97</v>
      </c>
      <c r="D17" s="5">
        <v>800</v>
      </c>
      <c r="E17" s="5">
        <v>45</v>
      </c>
      <c r="F17" s="5" t="s">
        <v>28</v>
      </c>
      <c r="G17" s="14">
        <f>IF(ISBLANK(D17),AVERAGE(D17:D50),D17)</f>
        <v>800</v>
      </c>
      <c r="H17" s="15" t="str">
        <f>IF(ISBLANK(F17),"Unknown",F17)</f>
        <v>Electronics</v>
      </c>
      <c r="I17" s="23" t="str">
        <f>PROPER(B17)</f>
        <v>Smartphone</v>
      </c>
      <c r="J17" s="5" t="s">
        <v>28</v>
      </c>
      <c r="K17" s="5" t="s">
        <v>96</v>
      </c>
      <c r="L17" s="5" t="s">
        <v>95</v>
      </c>
      <c r="M17" s="26">
        <v>29</v>
      </c>
      <c r="N17" s="26" t="s">
        <v>138</v>
      </c>
      <c r="O17" s="27" t="s">
        <v>145</v>
      </c>
      <c r="P17" s="27" t="str">
        <f t="shared" si="0"/>
        <v>Google Smartphone</v>
      </c>
      <c r="Q17" s="41">
        <v>800</v>
      </c>
      <c r="R17" s="46">
        <v>29</v>
      </c>
      <c r="S17" s="41">
        <v>800</v>
      </c>
      <c r="T17" s="5" t="s">
        <v>28</v>
      </c>
      <c r="U17" s="26"/>
      <c r="W17" s="5"/>
      <c r="X17" s="3" t="s">
        <v>11</v>
      </c>
      <c r="Y17" s="5"/>
      <c r="Z17" s="5"/>
      <c r="AA17" s="5"/>
      <c r="AB17" s="5"/>
      <c r="AC17" s="5"/>
      <c r="AD17" s="5"/>
      <c r="AE17" s="5"/>
      <c r="AF17" s="5"/>
    </row>
    <row r="18" spans="1:32" ht="15.75" customHeight="1" x14ac:dyDescent="0.35">
      <c r="A18" s="5" t="s">
        <v>108</v>
      </c>
      <c r="B18" s="5" t="s">
        <v>93</v>
      </c>
      <c r="C18" s="5" t="s">
        <v>109</v>
      </c>
      <c r="D18" s="5">
        <v>130</v>
      </c>
      <c r="E18" s="5">
        <v>5</v>
      </c>
      <c r="F18" s="5" t="s">
        <v>28</v>
      </c>
      <c r="G18" s="14">
        <f>IF(ISBLANK(D18),AVERAGE(D18:D51),D18)</f>
        <v>130</v>
      </c>
      <c r="H18" s="15" t="str">
        <f>IF(ISBLANK(F18),"Unknown",F18)</f>
        <v>Electronics</v>
      </c>
      <c r="I18" s="23" t="str">
        <f>PROPER(B18)</f>
        <v>Fitness Tracker</v>
      </c>
      <c r="J18" s="5" t="s">
        <v>28</v>
      </c>
      <c r="K18" s="5" t="s">
        <v>93</v>
      </c>
      <c r="L18" s="5" t="s">
        <v>108</v>
      </c>
      <c r="M18" s="26">
        <v>24</v>
      </c>
      <c r="N18" s="26" t="s">
        <v>133</v>
      </c>
      <c r="O18" s="27" t="s">
        <v>145</v>
      </c>
      <c r="P18" s="27" t="str">
        <f t="shared" si="0"/>
        <v>Garmin Fitness Tracker</v>
      </c>
      <c r="Q18" s="41">
        <v>130</v>
      </c>
      <c r="R18" s="46">
        <v>24</v>
      </c>
      <c r="S18" s="41">
        <v>130</v>
      </c>
      <c r="T18" s="5" t="s">
        <v>28</v>
      </c>
      <c r="U18" s="26"/>
      <c r="W18" s="5"/>
      <c r="X18" s="3" t="s">
        <v>12</v>
      </c>
      <c r="Y18" s="5"/>
      <c r="Z18" s="5"/>
      <c r="AA18" s="5"/>
      <c r="AB18" s="5"/>
      <c r="AC18" s="5"/>
      <c r="AD18" s="5"/>
      <c r="AE18" s="5"/>
      <c r="AF18" s="5"/>
    </row>
    <row r="19" spans="1:32" ht="15.75" customHeight="1" x14ac:dyDescent="0.25">
      <c r="A19" s="5" t="s">
        <v>60</v>
      </c>
      <c r="B19" s="5" t="s">
        <v>61</v>
      </c>
      <c r="C19" s="5" t="s">
        <v>62</v>
      </c>
      <c r="D19" s="5">
        <v>950</v>
      </c>
      <c r="E19" s="5">
        <v>25</v>
      </c>
      <c r="F19" s="5" t="s">
        <v>28</v>
      </c>
      <c r="G19" s="14">
        <f>IF(ISBLANK(D19),AVERAGE(D19:D52),D19)</f>
        <v>950</v>
      </c>
      <c r="H19" s="15" t="str">
        <f>IF(ISBLANK(F19),"Unknown",F19)</f>
        <v>Electronics</v>
      </c>
      <c r="I19" s="23" t="str">
        <f>PROPER(B19)</f>
        <v>Laptop</v>
      </c>
      <c r="J19" s="5" t="s">
        <v>28</v>
      </c>
      <c r="K19" s="5" t="s">
        <v>61</v>
      </c>
      <c r="L19" s="5" t="s">
        <v>60</v>
      </c>
      <c r="M19" s="26">
        <v>17</v>
      </c>
      <c r="N19" s="26" t="s">
        <v>134</v>
      </c>
      <c r="O19" s="27" t="s">
        <v>140</v>
      </c>
      <c r="P19" s="27" t="str">
        <f t="shared" si="0"/>
        <v>HP Laptop</v>
      </c>
      <c r="Q19" s="41">
        <v>950</v>
      </c>
      <c r="R19" s="46">
        <v>17</v>
      </c>
      <c r="S19" s="41">
        <v>950</v>
      </c>
      <c r="T19" s="5" t="s">
        <v>28</v>
      </c>
      <c r="U19" s="26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15.75" customHeight="1" x14ac:dyDescent="0.3">
      <c r="A20" s="8" t="s">
        <v>29</v>
      </c>
      <c r="B20" s="8" t="s">
        <v>30</v>
      </c>
      <c r="C20" s="8" t="s">
        <v>31</v>
      </c>
      <c r="D20" s="8">
        <v>80</v>
      </c>
      <c r="E20" s="8">
        <v>15</v>
      </c>
      <c r="F20" s="8" t="s">
        <v>32</v>
      </c>
      <c r="G20" s="14">
        <f>IF(ISBLANK(D20),AVERAGE(D20:D53),D20)</f>
        <v>80</v>
      </c>
      <c r="H20" s="15" t="str">
        <f>IF(ISBLANK(F20),"Unknown",F20)</f>
        <v>Fashion</v>
      </c>
      <c r="I20" s="23" t="str">
        <f>PROPER(B20)</f>
        <v>Sneakers</v>
      </c>
      <c r="J20" s="8" t="s">
        <v>32</v>
      </c>
      <c r="K20" s="8" t="s">
        <v>30</v>
      </c>
      <c r="L20" s="8" t="s">
        <v>29</v>
      </c>
      <c r="M20" s="26">
        <v>15</v>
      </c>
      <c r="N20" s="26" t="s">
        <v>130</v>
      </c>
      <c r="O20" s="27" t="s">
        <v>129</v>
      </c>
      <c r="P20" s="27" t="str">
        <f t="shared" si="0"/>
        <v>Nike Sneakers</v>
      </c>
      <c r="Q20" s="40">
        <v>80</v>
      </c>
      <c r="R20" s="45">
        <v>15</v>
      </c>
      <c r="S20" s="40">
        <v>80</v>
      </c>
      <c r="T20" s="8" t="s">
        <v>32</v>
      </c>
      <c r="U20" s="26"/>
      <c r="W20" s="2" t="s">
        <v>13</v>
      </c>
      <c r="X20" s="5"/>
      <c r="Y20" s="5"/>
      <c r="Z20" s="5"/>
      <c r="AA20" s="5"/>
      <c r="AB20" s="5"/>
      <c r="AC20" s="5"/>
      <c r="AD20" s="5"/>
      <c r="AE20" s="5"/>
      <c r="AF20" s="5"/>
    </row>
    <row r="21" spans="1:32" ht="15.75" customHeight="1" x14ac:dyDescent="0.35">
      <c r="A21" s="5" t="s">
        <v>47</v>
      </c>
      <c r="B21" s="5" t="s">
        <v>48</v>
      </c>
      <c r="C21" s="5" t="s">
        <v>49</v>
      </c>
      <c r="D21" s="5">
        <v>30</v>
      </c>
      <c r="E21" s="5">
        <v>5</v>
      </c>
      <c r="F21" s="5" t="s">
        <v>32</v>
      </c>
      <c r="G21" s="14">
        <f>IF(ISBLANK(D21),AVERAGE(D21:D54),D21)</f>
        <v>30</v>
      </c>
      <c r="H21" s="15" t="str">
        <f>IF(ISBLANK(F21),"Unknown",F21)</f>
        <v>Fashion</v>
      </c>
      <c r="I21" s="23" t="str">
        <f>PROPER(B21)</f>
        <v>T-Shirt</v>
      </c>
      <c r="J21" s="5" t="s">
        <v>32</v>
      </c>
      <c r="K21" s="5" t="s">
        <v>48</v>
      </c>
      <c r="L21" s="5" t="s">
        <v>47</v>
      </c>
      <c r="M21" s="26">
        <v>19</v>
      </c>
      <c r="N21" s="26" t="s">
        <v>136</v>
      </c>
      <c r="O21" s="27" t="s">
        <v>135</v>
      </c>
      <c r="P21" s="27" t="str">
        <f t="shared" si="0"/>
        <v>Adidas T-shirt</v>
      </c>
      <c r="Q21" s="41">
        <v>30</v>
      </c>
      <c r="R21" s="46">
        <v>19</v>
      </c>
      <c r="S21" s="41">
        <v>30</v>
      </c>
      <c r="T21" s="5" t="s">
        <v>32</v>
      </c>
      <c r="U21" s="26"/>
      <c r="W21" s="5"/>
      <c r="X21" s="3" t="s">
        <v>14</v>
      </c>
      <c r="Y21" s="5"/>
      <c r="Z21" s="5"/>
      <c r="AA21" s="5"/>
      <c r="AB21" s="5"/>
      <c r="AC21" s="5"/>
      <c r="AD21" s="5"/>
      <c r="AE21" s="5"/>
      <c r="AF21" s="5"/>
    </row>
    <row r="22" spans="1:32" ht="15.75" customHeight="1" x14ac:dyDescent="0.35">
      <c r="A22" s="5" t="s">
        <v>80</v>
      </c>
      <c r="B22" s="5" t="s">
        <v>81</v>
      </c>
      <c r="C22" s="5" t="s">
        <v>82</v>
      </c>
      <c r="D22" s="5">
        <v>150</v>
      </c>
      <c r="E22" s="5">
        <v>15</v>
      </c>
      <c r="F22" s="5" t="s">
        <v>32</v>
      </c>
      <c r="G22" s="14">
        <f>IF(ISBLANK(D22),AVERAGE(D22:D55),D22)</f>
        <v>150</v>
      </c>
      <c r="H22" s="15" t="str">
        <f>IF(ISBLANK(F22),"Unknown",F22)</f>
        <v>Fashion</v>
      </c>
      <c r="I22" s="23" t="str">
        <f>PROPER(B22)</f>
        <v>Sunglasses</v>
      </c>
      <c r="J22" s="5" t="s">
        <v>32</v>
      </c>
      <c r="K22" s="5" t="s">
        <v>81</v>
      </c>
      <c r="L22" s="5" t="s">
        <v>80</v>
      </c>
      <c r="M22" s="26">
        <v>1</v>
      </c>
      <c r="N22" s="26" t="s">
        <v>131</v>
      </c>
      <c r="O22" s="27" t="s">
        <v>135</v>
      </c>
      <c r="P22" s="27" t="str">
        <f t="shared" si="0"/>
        <v>Oakley Sunglasses</v>
      </c>
      <c r="Q22" s="41">
        <v>150</v>
      </c>
      <c r="R22" s="46">
        <v>1</v>
      </c>
      <c r="S22" s="41">
        <v>150</v>
      </c>
      <c r="T22" s="5" t="s">
        <v>32</v>
      </c>
      <c r="U22" s="26"/>
      <c r="W22" s="5"/>
      <c r="X22" s="3" t="s">
        <v>15</v>
      </c>
      <c r="Y22" s="5"/>
      <c r="Z22" s="5"/>
      <c r="AA22" s="5"/>
      <c r="AB22" s="5"/>
      <c r="AC22" s="5"/>
      <c r="AD22" s="5"/>
      <c r="AE22" s="5"/>
      <c r="AF22" s="5"/>
    </row>
    <row r="23" spans="1:32" ht="15.75" customHeight="1" x14ac:dyDescent="0.25">
      <c r="A23" s="8" t="s">
        <v>98</v>
      </c>
      <c r="B23" s="8" t="s">
        <v>81</v>
      </c>
      <c r="C23" s="8" t="s">
        <v>99</v>
      </c>
      <c r="D23" s="8"/>
      <c r="E23" s="8">
        <v>25</v>
      </c>
      <c r="F23" s="8" t="s">
        <v>32</v>
      </c>
      <c r="G23" s="14">
        <f>IF(ISBLANK(D23),AVERAGE(D23:D56),D23)</f>
        <v>117.5</v>
      </c>
      <c r="H23" s="15" t="str">
        <f>IF(ISBLANK(F23),"Unknown",F23)</f>
        <v>Fashion</v>
      </c>
      <c r="I23" s="23" t="str">
        <f>PROPER(B23)</f>
        <v>Sunglasses</v>
      </c>
      <c r="J23" s="8" t="s">
        <v>32</v>
      </c>
      <c r="K23" s="8" t="s">
        <v>81</v>
      </c>
      <c r="L23" s="8" t="s">
        <v>98</v>
      </c>
      <c r="M23" s="26">
        <v>3</v>
      </c>
      <c r="N23" s="26" t="s">
        <v>134</v>
      </c>
      <c r="O23" s="27" t="s">
        <v>145</v>
      </c>
      <c r="P23" s="27" t="str">
        <f t="shared" si="0"/>
        <v>Ray-Ban Sunglasses</v>
      </c>
      <c r="Q23" s="40"/>
      <c r="R23" s="45">
        <v>3</v>
      </c>
      <c r="S23" s="40"/>
      <c r="T23" s="8" t="s">
        <v>32</v>
      </c>
      <c r="U23" s="26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5.75" customHeight="1" x14ac:dyDescent="0.3">
      <c r="A24" s="5" t="s">
        <v>102</v>
      </c>
      <c r="B24" s="5" t="s">
        <v>103</v>
      </c>
      <c r="C24" s="5" t="s">
        <v>104</v>
      </c>
      <c r="D24" s="5">
        <v>60</v>
      </c>
      <c r="E24" s="5">
        <v>30</v>
      </c>
      <c r="F24" s="5" t="s">
        <v>32</v>
      </c>
      <c r="G24" s="14">
        <f>IF(ISBLANK(D24),AVERAGE(D24:D57),D24)</f>
        <v>60</v>
      </c>
      <c r="H24" s="15" t="str">
        <f>IF(ISBLANK(F24),"Unknown",F24)</f>
        <v>Fashion</v>
      </c>
      <c r="I24" s="23" t="str">
        <f>PROPER(B24)</f>
        <v>Dress</v>
      </c>
      <c r="J24" s="5" t="s">
        <v>32</v>
      </c>
      <c r="K24" s="5" t="s">
        <v>103</v>
      </c>
      <c r="L24" s="5" t="s">
        <v>102</v>
      </c>
      <c r="M24" s="26">
        <v>7</v>
      </c>
      <c r="N24" s="26" t="s">
        <v>131</v>
      </c>
      <c r="O24" s="27" t="s">
        <v>145</v>
      </c>
      <c r="P24" s="27" t="str">
        <f t="shared" si="0"/>
        <v>Zara Dress</v>
      </c>
      <c r="Q24" s="41">
        <v>60</v>
      </c>
      <c r="R24" s="46">
        <v>7</v>
      </c>
      <c r="S24" s="41">
        <v>60</v>
      </c>
      <c r="T24" s="5" t="s">
        <v>32</v>
      </c>
      <c r="U24" s="26"/>
      <c r="W24" s="2" t="s">
        <v>16</v>
      </c>
      <c r="X24" s="5"/>
      <c r="Y24" s="5"/>
      <c r="Z24" s="5"/>
      <c r="AA24" s="5"/>
      <c r="AB24" s="5"/>
      <c r="AC24" s="5"/>
      <c r="AD24" s="5"/>
      <c r="AE24" s="5"/>
      <c r="AF24" s="5"/>
    </row>
    <row r="25" spans="1:32" ht="15.75" customHeight="1" x14ac:dyDescent="0.35">
      <c r="A25" s="8" t="s">
        <v>110</v>
      </c>
      <c r="B25" s="8" t="s">
        <v>111</v>
      </c>
      <c r="C25" s="8" t="s">
        <v>112</v>
      </c>
      <c r="D25" s="8">
        <v>50</v>
      </c>
      <c r="E25" s="8">
        <v>50</v>
      </c>
      <c r="F25" s="8" t="s">
        <v>32</v>
      </c>
      <c r="G25" s="14">
        <f>IF(ISBLANK(D25),AVERAGE(D25:D58),D25)</f>
        <v>50</v>
      </c>
      <c r="H25" s="15" t="str">
        <f>IF(ISBLANK(F25),"Unknown",F25)</f>
        <v>Fashion</v>
      </c>
      <c r="I25" s="23" t="str">
        <f>PROPER(B25)</f>
        <v>Jeans</v>
      </c>
      <c r="J25" s="8" t="s">
        <v>32</v>
      </c>
      <c r="K25" s="8" t="s">
        <v>111</v>
      </c>
      <c r="L25" s="8" t="s">
        <v>110</v>
      </c>
      <c r="M25" s="26">
        <v>2</v>
      </c>
      <c r="N25" s="26" t="s">
        <v>143</v>
      </c>
      <c r="O25" s="27" t="s">
        <v>145</v>
      </c>
      <c r="P25" s="27" t="str">
        <f t="shared" si="0"/>
        <v>Levi's Jeans</v>
      </c>
      <c r="Q25" s="40">
        <v>50</v>
      </c>
      <c r="R25" s="45">
        <v>2</v>
      </c>
      <c r="S25" s="40">
        <v>50</v>
      </c>
      <c r="T25" s="8" t="s">
        <v>32</v>
      </c>
      <c r="U25" s="26"/>
      <c r="W25" s="5"/>
      <c r="X25" s="3" t="s">
        <v>17</v>
      </c>
      <c r="Y25" s="5"/>
      <c r="Z25" s="5"/>
      <c r="AA25" s="5"/>
      <c r="AB25" s="5"/>
      <c r="AC25" s="5"/>
      <c r="AD25" s="5"/>
      <c r="AE25" s="5"/>
      <c r="AF25" s="5"/>
    </row>
    <row r="26" spans="1:32" ht="15.75" customHeight="1" x14ac:dyDescent="0.35">
      <c r="A26" s="5" t="s">
        <v>33</v>
      </c>
      <c r="B26" s="5" t="s">
        <v>34</v>
      </c>
      <c r="C26" s="5" t="s">
        <v>35</v>
      </c>
      <c r="D26" s="5">
        <v>130</v>
      </c>
      <c r="E26" s="5">
        <v>40</v>
      </c>
      <c r="F26" s="5" t="s">
        <v>36</v>
      </c>
      <c r="G26" s="14">
        <f>IF(ISBLANK(D26),AVERAGE(D26:D59),D26)</f>
        <v>130</v>
      </c>
      <c r="H26" s="15" t="str">
        <f>IF(ISBLANK(F26),"Unknown",F26)</f>
        <v>Kitchen</v>
      </c>
      <c r="I26" s="23" t="str">
        <f>PROPER(B26)</f>
        <v>Coffee Maker</v>
      </c>
      <c r="J26" s="5" t="s">
        <v>36</v>
      </c>
      <c r="K26" s="5" t="s">
        <v>34</v>
      </c>
      <c r="L26" s="5" t="s">
        <v>33</v>
      </c>
      <c r="M26" s="26">
        <v>3</v>
      </c>
      <c r="N26" s="26" t="s">
        <v>131</v>
      </c>
      <c r="O26" s="27" t="s">
        <v>129</v>
      </c>
      <c r="P26" s="27" t="str">
        <f t="shared" si="0"/>
        <v>Keurig Coffee Maker</v>
      </c>
      <c r="Q26" s="41">
        <v>130</v>
      </c>
      <c r="R26" s="46">
        <v>3</v>
      </c>
      <c r="S26" s="41">
        <v>130</v>
      </c>
      <c r="T26" s="5" t="s">
        <v>36</v>
      </c>
      <c r="U26" s="26"/>
      <c r="W26" s="5"/>
      <c r="X26" s="11" t="s">
        <v>18</v>
      </c>
      <c r="Y26" s="5"/>
      <c r="Z26" s="5"/>
      <c r="AA26" s="5"/>
      <c r="AB26" s="5"/>
      <c r="AC26" s="5"/>
      <c r="AD26" s="5"/>
      <c r="AE26" s="5"/>
      <c r="AF26" s="5"/>
    </row>
    <row r="27" spans="1:32" ht="15.75" customHeight="1" x14ac:dyDescent="0.35">
      <c r="A27" s="8" t="s">
        <v>50</v>
      </c>
      <c r="B27" s="8" t="s">
        <v>51</v>
      </c>
      <c r="C27" s="8" t="s">
        <v>52</v>
      </c>
      <c r="D27" s="8">
        <v>90</v>
      </c>
      <c r="E27" s="8">
        <v>35</v>
      </c>
      <c r="F27" s="8" t="s">
        <v>36</v>
      </c>
      <c r="G27" s="14">
        <f>IF(ISBLANK(D27),AVERAGE(D27:D60),D27)</f>
        <v>90</v>
      </c>
      <c r="H27" s="15" t="str">
        <f>IF(ISBLANK(F27),"Unknown",F27)</f>
        <v>Kitchen</v>
      </c>
      <c r="I27" s="23" t="str">
        <f>PROPER(B27)</f>
        <v>Blender</v>
      </c>
      <c r="J27" s="8" t="s">
        <v>36</v>
      </c>
      <c r="K27" s="8" t="s">
        <v>51</v>
      </c>
      <c r="L27" s="8" t="s">
        <v>50</v>
      </c>
      <c r="M27" s="26">
        <v>23</v>
      </c>
      <c r="N27" s="26" t="s">
        <v>137</v>
      </c>
      <c r="O27" s="27" t="s">
        <v>135</v>
      </c>
      <c r="P27" s="27" t="str">
        <f t="shared" si="0"/>
        <v>Ninja Blender</v>
      </c>
      <c r="Q27" s="40">
        <v>90</v>
      </c>
      <c r="R27" s="45">
        <v>23</v>
      </c>
      <c r="S27" s="40">
        <v>90</v>
      </c>
      <c r="T27" s="8" t="s">
        <v>36</v>
      </c>
      <c r="U27" s="26"/>
      <c r="W27" s="5"/>
      <c r="X27" s="3"/>
      <c r="Y27" s="5"/>
      <c r="Z27" s="5"/>
      <c r="AA27" s="5"/>
      <c r="AB27" s="5"/>
      <c r="AC27" s="5"/>
      <c r="AD27" s="5"/>
      <c r="AE27" s="5"/>
      <c r="AF27" s="5"/>
    </row>
    <row r="28" spans="1:32" ht="15.75" customHeight="1" x14ac:dyDescent="0.3">
      <c r="A28" s="8" t="s">
        <v>89</v>
      </c>
      <c r="B28" s="8" t="s">
        <v>90</v>
      </c>
      <c r="C28" s="8" t="s">
        <v>91</v>
      </c>
      <c r="D28" s="8">
        <v>80</v>
      </c>
      <c r="E28" s="8">
        <v>20</v>
      </c>
      <c r="F28" s="8" t="s">
        <v>36</v>
      </c>
      <c r="G28" s="14">
        <f>IF(ISBLANK(D28),AVERAGE(D28:D61),D28)</f>
        <v>80</v>
      </c>
      <c r="H28" s="15" t="str">
        <f>IF(ISBLANK(F28),"Unknown",F28)</f>
        <v>Kitchen</v>
      </c>
      <c r="I28" s="23" t="str">
        <f>PROPER(B28)</f>
        <v>Microwave</v>
      </c>
      <c r="J28" s="8" t="s">
        <v>36</v>
      </c>
      <c r="K28" s="8" t="s">
        <v>90</v>
      </c>
      <c r="L28" s="8" t="s">
        <v>89</v>
      </c>
      <c r="M28" s="26">
        <v>9</v>
      </c>
      <c r="N28" s="26" t="s">
        <v>128</v>
      </c>
      <c r="O28" s="27" t="s">
        <v>145</v>
      </c>
      <c r="P28" s="27" t="str">
        <f t="shared" si="0"/>
        <v>Panasonic Microwave</v>
      </c>
      <c r="Q28" s="40">
        <v>80</v>
      </c>
      <c r="R28" s="45">
        <v>9</v>
      </c>
      <c r="S28" s="40">
        <v>80</v>
      </c>
      <c r="T28" s="8" t="s">
        <v>36</v>
      </c>
      <c r="U28" s="26"/>
      <c r="W28" s="5"/>
      <c r="X28" s="5"/>
      <c r="Y28" s="6"/>
      <c r="Z28" s="5"/>
      <c r="AA28" s="5"/>
      <c r="AB28" s="5"/>
      <c r="AC28" s="5"/>
      <c r="AD28" s="5"/>
      <c r="AE28" s="5"/>
      <c r="AF28" s="5"/>
    </row>
    <row r="29" spans="1:32" ht="15.75" customHeight="1" x14ac:dyDescent="0.25">
      <c r="A29" s="5" t="s">
        <v>100</v>
      </c>
      <c r="B29" s="5" t="s">
        <v>51</v>
      </c>
      <c r="C29" s="5" t="s">
        <v>101</v>
      </c>
      <c r="D29" s="5">
        <v>400</v>
      </c>
      <c r="E29" s="5">
        <v>40</v>
      </c>
      <c r="F29" s="5" t="s">
        <v>36</v>
      </c>
      <c r="G29" s="14">
        <f>IF(ISBLANK(D29),AVERAGE(D29:D62),D29)</f>
        <v>400</v>
      </c>
      <c r="H29" s="15" t="str">
        <f>IF(ISBLANK(F29),"Unknown",F29)</f>
        <v>Kitchen</v>
      </c>
      <c r="I29" s="23" t="str">
        <f>PROPER(B29)</f>
        <v>Blender</v>
      </c>
      <c r="J29" s="5" t="s">
        <v>36</v>
      </c>
      <c r="K29" s="5" t="s">
        <v>51</v>
      </c>
      <c r="L29" s="5" t="s">
        <v>100</v>
      </c>
      <c r="M29" s="26">
        <v>11</v>
      </c>
      <c r="N29" s="26" t="s">
        <v>136</v>
      </c>
      <c r="O29" s="27" t="s">
        <v>145</v>
      </c>
      <c r="P29" s="27" t="str">
        <f t="shared" si="0"/>
        <v>Vitamix Blender</v>
      </c>
      <c r="Q29" s="41">
        <v>400</v>
      </c>
      <c r="R29" s="46">
        <v>11</v>
      </c>
      <c r="S29" s="41">
        <v>400</v>
      </c>
      <c r="T29" s="5" t="s">
        <v>36</v>
      </c>
      <c r="U29" s="26"/>
    </row>
    <row r="30" spans="1:32" ht="15.75" customHeight="1" x14ac:dyDescent="0.25">
      <c r="A30" s="8" t="s">
        <v>105</v>
      </c>
      <c r="B30" s="8" t="s">
        <v>106</v>
      </c>
      <c r="C30" s="8" t="s">
        <v>107</v>
      </c>
      <c r="D30" s="8">
        <v>40</v>
      </c>
      <c r="E30" s="8">
        <v>10</v>
      </c>
      <c r="F30" s="8" t="s">
        <v>36</v>
      </c>
      <c r="G30" s="14">
        <f>IF(ISBLANK(D30),AVERAGE(D30:D63),D30)</f>
        <v>40</v>
      </c>
      <c r="H30" s="15" t="str">
        <f>IF(ISBLANK(F30),"Unknown",F30)</f>
        <v>Kitchen</v>
      </c>
      <c r="I30" s="23" t="str">
        <f>PROPER(B30)</f>
        <v>Toaster</v>
      </c>
      <c r="J30" s="8" t="s">
        <v>36</v>
      </c>
      <c r="K30" s="8" t="s">
        <v>106</v>
      </c>
      <c r="L30" s="8" t="s">
        <v>105</v>
      </c>
      <c r="M30" s="26">
        <v>13</v>
      </c>
      <c r="N30" s="26" t="s">
        <v>132</v>
      </c>
      <c r="O30" s="27" t="s">
        <v>145</v>
      </c>
      <c r="P30" s="27" t="str">
        <f t="shared" si="0"/>
        <v>Hamilton Toaster</v>
      </c>
      <c r="Q30" s="40">
        <v>40</v>
      </c>
      <c r="R30" s="45">
        <v>13</v>
      </c>
      <c r="S30" s="40">
        <v>40</v>
      </c>
      <c r="T30" s="8" t="s">
        <v>36</v>
      </c>
      <c r="U30" s="26"/>
    </row>
    <row r="31" spans="1:32" ht="15.75" customHeight="1" x14ac:dyDescent="0.25">
      <c r="A31" s="8" t="s">
        <v>56</v>
      </c>
      <c r="B31" s="8" t="s">
        <v>57</v>
      </c>
      <c r="C31" s="8" t="s">
        <v>58</v>
      </c>
      <c r="D31" s="8">
        <v>130</v>
      </c>
      <c r="E31" s="8">
        <v>10</v>
      </c>
      <c r="F31" s="8" t="s">
        <v>59</v>
      </c>
      <c r="G31" s="14">
        <f>IF(ISBLANK(D31),AVERAGE(D31:D64),D31)</f>
        <v>130</v>
      </c>
      <c r="H31" s="15" t="str">
        <f>IF(ISBLANK(F31),"Unknown",F31)</f>
        <v>Outdoor</v>
      </c>
      <c r="I31" s="23" t="str">
        <f>PROPER(B31)</f>
        <v>Hiking Boots</v>
      </c>
      <c r="J31" s="8" t="s">
        <v>59</v>
      </c>
      <c r="K31" s="8" t="s">
        <v>57</v>
      </c>
      <c r="L31" s="8" t="s">
        <v>56</v>
      </c>
      <c r="M31" s="26">
        <v>14</v>
      </c>
      <c r="N31" s="26" t="s">
        <v>139</v>
      </c>
      <c r="O31" s="27" t="s">
        <v>135</v>
      </c>
      <c r="P31" s="27" t="str">
        <f t="shared" si="0"/>
        <v>Timberland Hiking Boots</v>
      </c>
      <c r="Q31" s="40">
        <v>130</v>
      </c>
      <c r="R31" s="45">
        <v>14</v>
      </c>
      <c r="S31" s="40">
        <v>130</v>
      </c>
      <c r="T31" s="8" t="s">
        <v>59</v>
      </c>
      <c r="U31" s="26"/>
    </row>
    <row r="32" spans="1:32" ht="15.75" customHeight="1" x14ac:dyDescent="0.25">
      <c r="A32" s="8" t="s">
        <v>83</v>
      </c>
      <c r="B32" s="8" t="s">
        <v>84</v>
      </c>
      <c r="C32" s="8" t="s">
        <v>85</v>
      </c>
      <c r="D32" s="8"/>
      <c r="E32" s="8">
        <v>10</v>
      </c>
      <c r="F32" s="8" t="s">
        <v>59</v>
      </c>
      <c r="G32" s="16">
        <f>IF(ISBLANK(D32),AVERAGE(D32:D65),D32)</f>
        <v>107.5</v>
      </c>
      <c r="H32" s="15" t="str">
        <f>IF(ISBLANK(F32),"Unknown",F32)</f>
        <v>Outdoor</v>
      </c>
      <c r="I32" s="23" t="str">
        <f>PROPER(B32)</f>
        <v>Camping Tent</v>
      </c>
      <c r="J32" s="8" t="s">
        <v>59</v>
      </c>
      <c r="K32" s="8" t="s">
        <v>84</v>
      </c>
      <c r="L32" s="8" t="s">
        <v>83</v>
      </c>
      <c r="M32" s="26">
        <v>14</v>
      </c>
      <c r="N32" s="26" t="s">
        <v>137</v>
      </c>
      <c r="O32" s="27" t="s">
        <v>129</v>
      </c>
      <c r="P32" s="27" t="str">
        <f t="shared" si="0"/>
        <v>Coleman Camping Tent</v>
      </c>
      <c r="Q32" s="40"/>
      <c r="R32" s="45">
        <v>14</v>
      </c>
      <c r="S32" s="40"/>
      <c r="T32" s="8" t="s">
        <v>59</v>
      </c>
      <c r="U32" s="26"/>
    </row>
    <row r="33" spans="1:21" ht="15.75" customHeight="1" x14ac:dyDescent="0.25">
      <c r="A33" s="5" t="s">
        <v>40</v>
      </c>
      <c r="B33" s="5" t="s">
        <v>41</v>
      </c>
      <c r="C33" s="5" t="s">
        <v>42</v>
      </c>
      <c r="D33" s="5">
        <v>70</v>
      </c>
      <c r="E33" s="5">
        <v>20</v>
      </c>
      <c r="F33" s="5"/>
      <c r="G33" s="14">
        <f>IF(ISBLANK(D33),AVERAGE(D33:D66),D33)</f>
        <v>70</v>
      </c>
      <c r="H33" s="15" t="str">
        <f>IF(ISBLANK(F33),"Unknown",F33)</f>
        <v>Unknown</v>
      </c>
      <c r="I33" s="23" t="str">
        <f>PROPER(B33)</f>
        <v>Backpack</v>
      </c>
      <c r="J33" s="5"/>
      <c r="K33" s="5" t="s">
        <v>41</v>
      </c>
      <c r="L33" s="5" t="s">
        <v>40</v>
      </c>
      <c r="M33" s="26">
        <v>22</v>
      </c>
      <c r="N33" s="26" t="s">
        <v>133</v>
      </c>
      <c r="O33" s="27" t="s">
        <v>129</v>
      </c>
      <c r="P33" s="27" t="str">
        <f t="shared" si="0"/>
        <v>North Face Backpack</v>
      </c>
      <c r="Q33" s="41">
        <v>70</v>
      </c>
      <c r="R33" s="46">
        <v>22</v>
      </c>
      <c r="S33" s="41">
        <v>70</v>
      </c>
      <c r="T33" s="5"/>
      <c r="U33" s="26"/>
    </row>
    <row r="34" spans="1:21" ht="15.75" customHeight="1" x14ac:dyDescent="0.25">
      <c r="A34" s="8" t="s">
        <v>63</v>
      </c>
      <c r="B34" s="8" t="s">
        <v>30</v>
      </c>
      <c r="C34" s="8" t="s">
        <v>49</v>
      </c>
      <c r="D34" s="8">
        <v>90</v>
      </c>
      <c r="E34" s="8">
        <v>40</v>
      </c>
      <c r="F34" s="8"/>
      <c r="G34" s="14">
        <f>IF(ISBLANK(D34),AVERAGE(D34:D67),D34)</f>
        <v>90</v>
      </c>
      <c r="H34" s="15" t="str">
        <f>IF(ISBLANK(F34),"Unknown",F34)</f>
        <v>Unknown</v>
      </c>
      <c r="I34" s="23" t="str">
        <f>PROPER(B34)</f>
        <v>Sneakers</v>
      </c>
      <c r="J34" s="8"/>
      <c r="K34" s="8" t="s">
        <v>30</v>
      </c>
      <c r="L34" s="8" t="s">
        <v>63</v>
      </c>
      <c r="M34" s="26">
        <v>25</v>
      </c>
      <c r="N34" s="26" t="s">
        <v>141</v>
      </c>
      <c r="O34" s="27" t="s">
        <v>142</v>
      </c>
      <c r="P34" s="27" t="str">
        <f t="shared" si="0"/>
        <v>Adidas Sneakers</v>
      </c>
      <c r="Q34" s="40">
        <v>90</v>
      </c>
      <c r="R34" s="45">
        <v>25</v>
      </c>
      <c r="S34" s="40">
        <v>90</v>
      </c>
      <c r="T34" s="8"/>
      <c r="U34" s="26"/>
    </row>
    <row r="35" spans="1:21" ht="15.75" customHeight="1" x14ac:dyDescent="0.25">
      <c r="A35" s="5" t="s">
        <v>64</v>
      </c>
      <c r="B35" s="5" t="s">
        <v>34</v>
      </c>
      <c r="C35" s="5" t="s">
        <v>65</v>
      </c>
      <c r="D35" s="5">
        <v>120</v>
      </c>
      <c r="E35" s="5">
        <v>35</v>
      </c>
      <c r="F35" s="5"/>
      <c r="G35" s="14">
        <f>IF(ISBLANK(D35),AVERAGE(D35:D68),D35)</f>
        <v>120</v>
      </c>
      <c r="H35" s="15" t="str">
        <f>IF(ISBLANK(F35),"Unknown",F35)</f>
        <v>Unknown</v>
      </c>
      <c r="I35" s="23" t="str">
        <f>PROPER(B35)</f>
        <v>Coffee Maker</v>
      </c>
      <c r="J35" s="5"/>
      <c r="K35" s="5" t="s">
        <v>34</v>
      </c>
      <c r="L35" s="5" t="s">
        <v>64</v>
      </c>
      <c r="M35" s="26">
        <v>8</v>
      </c>
      <c r="N35" s="26" t="s">
        <v>143</v>
      </c>
      <c r="O35" s="27" t="s">
        <v>144</v>
      </c>
      <c r="P35" s="27" t="str">
        <f t="shared" si="0"/>
        <v>Nespresso Coffee Maker</v>
      </c>
      <c r="Q35" s="41">
        <v>120</v>
      </c>
      <c r="R35" s="46">
        <v>8</v>
      </c>
      <c r="S35" s="41">
        <v>120</v>
      </c>
      <c r="T35" s="5"/>
      <c r="U35" s="26"/>
    </row>
    <row r="36" spans="1:21" ht="15.75" customHeight="1" thickBot="1" x14ac:dyDescent="0.3">
      <c r="A36" s="5" t="s">
        <v>92</v>
      </c>
      <c r="B36" s="5" t="s">
        <v>93</v>
      </c>
      <c r="C36" s="5" t="s">
        <v>94</v>
      </c>
      <c r="D36" s="5">
        <v>150</v>
      </c>
      <c r="E36" s="5">
        <v>30</v>
      </c>
      <c r="F36" s="5"/>
      <c r="G36" s="17">
        <f>IF(ISBLANK(D36),AVERAGE(D36:D69),D36)</f>
        <v>150</v>
      </c>
      <c r="H36" s="18" t="str">
        <f>IF(ISBLANK(F36),"Unknown",F36)</f>
        <v>Unknown</v>
      </c>
      <c r="I36" s="23" t="str">
        <f>PROPER(B36)</f>
        <v>Fitness Tracker</v>
      </c>
      <c r="J36" s="5"/>
      <c r="K36" s="5" t="s">
        <v>93</v>
      </c>
      <c r="L36" s="5" t="s">
        <v>92</v>
      </c>
      <c r="M36" s="28">
        <v>19</v>
      </c>
      <c r="N36" s="28" t="s">
        <v>136</v>
      </c>
      <c r="O36" s="29" t="s">
        <v>150</v>
      </c>
      <c r="P36" s="27" t="str">
        <f t="shared" si="0"/>
        <v>Xiaomi Fitness Tracker</v>
      </c>
      <c r="Q36" s="41">
        <v>150</v>
      </c>
      <c r="R36" s="46">
        <v>19</v>
      </c>
      <c r="S36" s="41">
        <v>150</v>
      </c>
      <c r="T36" s="5"/>
      <c r="U36" s="26"/>
    </row>
    <row r="37" spans="1:21" ht="15.75" customHeight="1" x14ac:dyDescent="0.25"/>
    <row r="38" spans="1:21" ht="15.75" customHeight="1" x14ac:dyDescent="0.25"/>
    <row r="39" spans="1:21" ht="15.75" customHeight="1" x14ac:dyDescent="0.25"/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A2:K36" xr:uid="{C658495C-AD45-44B1-808B-C41152121634}">
    <sortState xmlns:xlrd2="http://schemas.microsoft.com/office/spreadsheetml/2017/richdata2" ref="A3:K36">
      <sortCondition ref="J3:J36"/>
    </sortState>
  </autoFilter>
  <mergeCells count="2">
    <mergeCell ref="G1:H1"/>
    <mergeCell ref="I1:K1"/>
  </mergeCells>
  <conditionalFormatting sqref="S1:T1 S37:T1048576 S2:S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ntainsText" priority="2" operator="containsText" text="Electronics">
      <formula>NOT(ISERROR(SEARCH("Electronics",T1)))</formula>
    </cfRule>
  </conditionalFormatting>
  <conditionalFormatting sqref="T2:T32">
    <cfRule type="containsText" dxfId="0" priority="1" operator="containsText" text="Electronics">
      <formula>NOT(ISERROR(SEARCH("Electronics",T2)))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8F6C-C2DE-4AB1-BFFA-B447D0363849}">
  <sheetPr>
    <outlinePr summaryBelow="0" summaryRight="0"/>
  </sheetPr>
  <dimension ref="A1:P1001"/>
  <sheetViews>
    <sheetView workbookViewId="0">
      <selection activeCell="C1" sqref="C1"/>
    </sheetView>
  </sheetViews>
  <sheetFormatPr defaultColWidth="12.6328125" defaultRowHeight="15" customHeight="1" x14ac:dyDescent="0.25"/>
  <cols>
    <col min="1" max="6" width="12.6328125" customWidth="1"/>
  </cols>
  <sheetData>
    <row r="1" spans="1:16" ht="15" customHeight="1" x14ac:dyDescent="0.25">
      <c r="A1" t="s">
        <v>125</v>
      </c>
    </row>
    <row r="2" spans="1:16" ht="15.75" customHeight="1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</row>
    <row r="3" spans="1:16" ht="15.75" customHeight="1" x14ac:dyDescent="0.25">
      <c r="A3" s="5" t="s">
        <v>25</v>
      </c>
      <c r="B3" s="5" t="s">
        <v>26</v>
      </c>
      <c r="C3" s="5" t="s">
        <v>27</v>
      </c>
      <c r="D3" s="5">
        <v>1000</v>
      </c>
      <c r="E3" s="5">
        <v>30</v>
      </c>
      <c r="F3" s="5" t="s">
        <v>28</v>
      </c>
    </row>
    <row r="4" spans="1:16" ht="15.75" customHeight="1" x14ac:dyDescent="0.3">
      <c r="A4" s="8" t="s">
        <v>29</v>
      </c>
      <c r="B4" s="8" t="s">
        <v>30</v>
      </c>
      <c r="C4" s="8" t="s">
        <v>31</v>
      </c>
      <c r="D4" s="8">
        <v>80</v>
      </c>
      <c r="E4" s="8">
        <v>15</v>
      </c>
      <c r="F4" s="8" t="s">
        <v>32</v>
      </c>
      <c r="I4" s="2"/>
      <c r="J4" s="5"/>
      <c r="K4" s="5"/>
      <c r="L4" s="5"/>
      <c r="M4" s="5"/>
      <c r="N4" s="5"/>
      <c r="O4" s="5"/>
      <c r="P4" s="5"/>
    </row>
    <row r="5" spans="1:16" ht="15.75" customHeight="1" x14ac:dyDescent="0.35">
      <c r="A5" s="5" t="s">
        <v>33</v>
      </c>
      <c r="B5" s="5" t="s">
        <v>34</v>
      </c>
      <c r="C5" s="5" t="s">
        <v>35</v>
      </c>
      <c r="D5" s="5">
        <v>130</v>
      </c>
      <c r="E5" s="5">
        <v>40</v>
      </c>
      <c r="F5" s="5" t="s">
        <v>36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35">
      <c r="A6" s="8" t="s">
        <v>37</v>
      </c>
      <c r="B6" s="8" t="s">
        <v>38</v>
      </c>
      <c r="C6" s="8" t="s">
        <v>39</v>
      </c>
      <c r="D6" s="8">
        <v>900</v>
      </c>
      <c r="E6" s="8">
        <v>25</v>
      </c>
      <c r="F6" s="8" t="s">
        <v>28</v>
      </c>
      <c r="I6" s="5"/>
      <c r="J6" s="3"/>
      <c r="K6" s="5"/>
      <c r="L6" s="5"/>
      <c r="M6" s="5"/>
      <c r="N6" s="5"/>
      <c r="O6" s="5"/>
      <c r="P6" s="5"/>
    </row>
    <row r="7" spans="1:16" ht="15.75" customHeight="1" x14ac:dyDescent="0.25">
      <c r="A7" s="5" t="s">
        <v>40</v>
      </c>
      <c r="B7" s="5" t="s">
        <v>41</v>
      </c>
      <c r="C7" s="5" t="s">
        <v>42</v>
      </c>
      <c r="D7" s="5">
        <v>70</v>
      </c>
      <c r="E7" s="5">
        <v>20</v>
      </c>
      <c r="F7" s="5"/>
    </row>
    <row r="8" spans="1:16" ht="15.75" customHeight="1" x14ac:dyDescent="0.25">
      <c r="A8" s="8" t="s">
        <v>43</v>
      </c>
      <c r="B8" s="8" t="s">
        <v>44</v>
      </c>
      <c r="C8" s="8" t="s">
        <v>45</v>
      </c>
      <c r="D8" s="8"/>
      <c r="E8" s="8">
        <v>45</v>
      </c>
      <c r="F8" s="8" t="s">
        <v>46</v>
      </c>
    </row>
    <row r="9" spans="1:16" ht="15.75" customHeight="1" x14ac:dyDescent="0.25">
      <c r="A9" s="5" t="s">
        <v>47</v>
      </c>
      <c r="B9" s="5" t="s">
        <v>48</v>
      </c>
      <c r="C9" s="5" t="s">
        <v>49</v>
      </c>
      <c r="D9" s="5">
        <v>30</v>
      </c>
      <c r="E9" s="5">
        <v>5</v>
      </c>
      <c r="F9" s="5" t="s">
        <v>32</v>
      </c>
    </row>
    <row r="10" spans="1:16" ht="15.75" customHeight="1" x14ac:dyDescent="0.25">
      <c r="A10" s="8" t="s">
        <v>50</v>
      </c>
      <c r="B10" s="8" t="s">
        <v>51</v>
      </c>
      <c r="C10" s="8" t="s">
        <v>52</v>
      </c>
      <c r="D10" s="8">
        <v>90</v>
      </c>
      <c r="E10" s="8">
        <v>35</v>
      </c>
      <c r="F10" s="8" t="s">
        <v>36</v>
      </c>
    </row>
    <row r="11" spans="1:16" ht="15.75" customHeight="1" x14ac:dyDescent="0.25">
      <c r="A11" s="5" t="s">
        <v>53</v>
      </c>
      <c r="B11" s="5" t="s">
        <v>54</v>
      </c>
      <c r="C11" s="5" t="s">
        <v>55</v>
      </c>
      <c r="D11" s="5">
        <v>500</v>
      </c>
      <c r="E11" s="5">
        <v>50</v>
      </c>
      <c r="F11" s="5" t="s">
        <v>28</v>
      </c>
    </row>
    <row r="12" spans="1:16" ht="15.75" customHeight="1" x14ac:dyDescent="0.25">
      <c r="A12" s="8" t="s">
        <v>56</v>
      </c>
      <c r="B12" s="8" t="s">
        <v>57</v>
      </c>
      <c r="C12" s="8" t="s">
        <v>58</v>
      </c>
      <c r="D12" s="8">
        <v>130</v>
      </c>
      <c r="E12" s="8">
        <v>10</v>
      </c>
      <c r="F12" s="8" t="s">
        <v>59</v>
      </c>
    </row>
    <row r="13" spans="1:16" ht="15.75" customHeight="1" x14ac:dyDescent="0.25">
      <c r="A13" s="5" t="s">
        <v>60</v>
      </c>
      <c r="B13" s="5" t="s">
        <v>61</v>
      </c>
      <c r="C13" s="5" t="s">
        <v>62</v>
      </c>
      <c r="D13" s="5">
        <v>950</v>
      </c>
      <c r="E13" s="5">
        <v>25</v>
      </c>
      <c r="F13" s="5" t="s">
        <v>28</v>
      </c>
    </row>
    <row r="14" spans="1:16" ht="15.75" customHeight="1" x14ac:dyDescent="0.25">
      <c r="A14" s="8" t="s">
        <v>63</v>
      </c>
      <c r="B14" s="8" t="s">
        <v>30</v>
      </c>
      <c r="C14" s="8" t="s">
        <v>49</v>
      </c>
      <c r="D14" s="8">
        <v>90</v>
      </c>
      <c r="E14" s="8">
        <v>40</v>
      </c>
      <c r="F14" s="8"/>
    </row>
    <row r="15" spans="1:16" ht="15.75" customHeight="1" x14ac:dyDescent="0.25">
      <c r="A15" s="5" t="s">
        <v>64</v>
      </c>
      <c r="B15" s="5" t="s">
        <v>34</v>
      </c>
      <c r="C15" s="5" t="s">
        <v>65</v>
      </c>
      <c r="D15" s="5">
        <v>120</v>
      </c>
      <c r="E15" s="5">
        <v>35</v>
      </c>
      <c r="F15" s="5"/>
    </row>
    <row r="16" spans="1:16" ht="15.75" customHeight="1" x14ac:dyDescent="0.25">
      <c r="A16" s="8" t="s">
        <v>66</v>
      </c>
      <c r="B16" s="8" t="s">
        <v>67</v>
      </c>
      <c r="C16" s="8" t="s">
        <v>68</v>
      </c>
      <c r="D16" s="8">
        <v>150</v>
      </c>
      <c r="E16" s="8">
        <v>15</v>
      </c>
      <c r="F16" s="8" t="s">
        <v>46</v>
      </c>
    </row>
    <row r="17" spans="1:6" ht="15.75" customHeight="1" x14ac:dyDescent="0.25">
      <c r="A17" s="5" t="s">
        <v>69</v>
      </c>
      <c r="B17" s="5" t="s">
        <v>70</v>
      </c>
      <c r="C17" s="5" t="s">
        <v>71</v>
      </c>
      <c r="D17" s="5">
        <v>250</v>
      </c>
      <c r="E17" s="5">
        <v>20</v>
      </c>
      <c r="F17" s="5" t="s">
        <v>46</v>
      </c>
    </row>
    <row r="18" spans="1:6" ht="15.75" customHeight="1" x14ac:dyDescent="0.25">
      <c r="A18" s="8" t="s">
        <v>72</v>
      </c>
      <c r="B18" s="8" t="s">
        <v>73</v>
      </c>
      <c r="C18" s="8" t="s">
        <v>74</v>
      </c>
      <c r="D18" s="8">
        <v>50</v>
      </c>
      <c r="E18" s="8">
        <v>35</v>
      </c>
      <c r="F18" s="8" t="s">
        <v>75</v>
      </c>
    </row>
    <row r="19" spans="1:6" ht="15.75" customHeight="1" x14ac:dyDescent="0.25">
      <c r="A19" s="5" t="s">
        <v>76</v>
      </c>
      <c r="B19" s="5" t="s">
        <v>67</v>
      </c>
      <c r="C19" s="5" t="s">
        <v>77</v>
      </c>
      <c r="D19" s="5">
        <v>160</v>
      </c>
      <c r="E19" s="5">
        <v>15</v>
      </c>
      <c r="F19" s="5" t="s">
        <v>46</v>
      </c>
    </row>
    <row r="20" spans="1:6" ht="15.75" customHeight="1" x14ac:dyDescent="0.25">
      <c r="A20" s="8" t="s">
        <v>78</v>
      </c>
      <c r="B20" s="8" t="s">
        <v>26</v>
      </c>
      <c r="C20" s="8" t="s">
        <v>79</v>
      </c>
      <c r="D20" s="8">
        <v>980</v>
      </c>
      <c r="E20" s="8">
        <v>10</v>
      </c>
      <c r="F20" s="8" t="s">
        <v>28</v>
      </c>
    </row>
    <row r="21" spans="1:6" ht="15.75" customHeight="1" x14ac:dyDescent="0.25">
      <c r="A21" s="5" t="s">
        <v>80</v>
      </c>
      <c r="B21" s="5" t="s">
        <v>81</v>
      </c>
      <c r="C21" s="5" t="s">
        <v>82</v>
      </c>
      <c r="D21" s="5">
        <v>150</v>
      </c>
      <c r="E21" s="5">
        <v>15</v>
      </c>
      <c r="F21" s="5" t="s">
        <v>32</v>
      </c>
    </row>
    <row r="22" spans="1:6" ht="15.75" customHeight="1" x14ac:dyDescent="0.25">
      <c r="A22" s="8" t="s">
        <v>83</v>
      </c>
      <c r="B22" s="8" t="s">
        <v>84</v>
      </c>
      <c r="C22" s="8" t="s">
        <v>85</v>
      </c>
      <c r="D22" s="8"/>
      <c r="E22" s="8">
        <v>10</v>
      </c>
      <c r="F22" s="8" t="s">
        <v>59</v>
      </c>
    </row>
    <row r="23" spans="1:6" ht="15.75" customHeight="1" x14ac:dyDescent="0.25">
      <c r="A23" s="5" t="s">
        <v>86</v>
      </c>
      <c r="B23" s="5" t="s">
        <v>87</v>
      </c>
      <c r="C23" s="5" t="s">
        <v>88</v>
      </c>
      <c r="D23" s="5">
        <v>700</v>
      </c>
      <c r="E23" s="5">
        <v>50</v>
      </c>
      <c r="F23" s="5" t="s">
        <v>28</v>
      </c>
    </row>
    <row r="24" spans="1:6" ht="15.75" customHeight="1" x14ac:dyDescent="0.25">
      <c r="A24" s="8" t="s">
        <v>89</v>
      </c>
      <c r="B24" s="8" t="s">
        <v>90</v>
      </c>
      <c r="C24" s="8" t="s">
        <v>91</v>
      </c>
      <c r="D24" s="8">
        <v>80</v>
      </c>
      <c r="E24" s="8">
        <v>20</v>
      </c>
      <c r="F24" s="8" t="s">
        <v>36</v>
      </c>
    </row>
    <row r="25" spans="1:6" ht="15.75" customHeight="1" x14ac:dyDescent="0.25">
      <c r="A25" s="5" t="s">
        <v>92</v>
      </c>
      <c r="B25" s="5" t="s">
        <v>93</v>
      </c>
      <c r="C25" s="5" t="s">
        <v>94</v>
      </c>
      <c r="D25" s="5">
        <v>150</v>
      </c>
      <c r="E25" s="5">
        <v>30</v>
      </c>
      <c r="F25" s="5"/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5" t="s">
        <v>102</v>
      </c>
      <c r="B29" s="5" t="s">
        <v>103</v>
      </c>
      <c r="C29" s="5" t="s">
        <v>104</v>
      </c>
      <c r="D29" s="5">
        <v>60</v>
      </c>
      <c r="E29" s="5">
        <v>30</v>
      </c>
      <c r="F29" s="5" t="s">
        <v>32</v>
      </c>
    </row>
    <row r="30" spans="1:6" ht="15.75" customHeight="1" x14ac:dyDescent="0.25">
      <c r="A30" s="8" t="s">
        <v>105</v>
      </c>
      <c r="B30" s="8" t="s">
        <v>106</v>
      </c>
      <c r="C30" s="8" t="s">
        <v>107</v>
      </c>
      <c r="D30" s="8">
        <v>40</v>
      </c>
      <c r="E30" s="8">
        <v>10</v>
      </c>
      <c r="F30" s="8" t="s">
        <v>36</v>
      </c>
    </row>
    <row r="31" spans="1:6" ht="15.75" customHeight="1" x14ac:dyDescent="0.25">
      <c r="A31" s="5" t="s">
        <v>108</v>
      </c>
      <c r="B31" s="5" t="s">
        <v>93</v>
      </c>
      <c r="C31" s="5" t="s">
        <v>109</v>
      </c>
      <c r="D31" s="5">
        <v>130</v>
      </c>
      <c r="E31" s="5">
        <v>5</v>
      </c>
      <c r="F31" s="5" t="s">
        <v>28</v>
      </c>
    </row>
    <row r="32" spans="1:6" ht="15.75" customHeight="1" x14ac:dyDescent="0.25">
      <c r="A32" s="8" t="s">
        <v>110</v>
      </c>
      <c r="B32" s="8" t="s">
        <v>111</v>
      </c>
      <c r="C32" s="8" t="s">
        <v>112</v>
      </c>
      <c r="D32" s="8">
        <v>50</v>
      </c>
      <c r="E32" s="8">
        <v>50</v>
      </c>
      <c r="F32" s="8" t="s">
        <v>32</v>
      </c>
    </row>
    <row r="33" spans="1:6" ht="15.75" customHeight="1" x14ac:dyDescent="0.25">
      <c r="A33" s="8" t="s">
        <v>113</v>
      </c>
      <c r="B33" s="8" t="s">
        <v>114</v>
      </c>
      <c r="C33" s="8" t="s">
        <v>115</v>
      </c>
      <c r="D33" s="8">
        <v>100</v>
      </c>
      <c r="E33" s="8">
        <v>20</v>
      </c>
      <c r="F33" s="8" t="s">
        <v>75</v>
      </c>
    </row>
    <row r="34" spans="1:6" ht="15.75" customHeight="1" x14ac:dyDescent="0.25"/>
    <row r="35" spans="1:6" ht="15.75" customHeight="1" x14ac:dyDescent="0.25"/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Answers</vt:lpstr>
      <vt:lpstr>Answer for 3rd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RENJINI JYOTHISH</dc:creator>
  <cp:lastModifiedBy>RENJINI JYOTHISH</cp:lastModifiedBy>
  <dcterms:created xsi:type="dcterms:W3CDTF">2026-10-16T08:35:02Z</dcterms:created>
  <dcterms:modified xsi:type="dcterms:W3CDTF">2026-10-17T12:04:02Z</dcterms:modified>
</cp:coreProperties>
</file>